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  <sheet xmlns:r="http://schemas.openxmlformats.org/officeDocument/2006/relationships" name="差异汇总" sheetId="5" state="visible" r:id="rId5"/>
    <sheet xmlns:r="http://schemas.openxmlformats.org/officeDocument/2006/relationships" name="离职明细" sheetId="6" state="visible" r:id="rId6"/>
    <sheet xmlns:r="http://schemas.openxmlformats.org/officeDocument/2006/relationships" name="变更明细" sheetId="7" state="visible" r:id="rId7"/>
    <sheet xmlns:r="http://schemas.openxmlformats.org/officeDocument/2006/relationships" name="部门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9</v>
      </c>
      <c r="C3" t="inlineStr"/>
    </row>
    <row r="4">
      <c r="A4" t="inlineStr">
        <is>
          <t>工号 非空数</t>
        </is>
      </c>
      <c r="B4" t="n">
        <v>9</v>
      </c>
      <c r="C4" t="inlineStr">
        <is>
          <t>100.0%</t>
        </is>
      </c>
    </row>
    <row r="5">
      <c r="A5" t="inlineStr">
        <is>
          <t>姓名 非空数</t>
        </is>
      </c>
      <c r="B5" t="n">
        <v>8</v>
      </c>
      <c r="C5" t="inlineStr">
        <is>
          <t>88.9%</t>
        </is>
      </c>
    </row>
    <row r="6">
      <c r="A6" t="inlineStr">
        <is>
          <t>部门 非空数</t>
        </is>
      </c>
      <c r="B6" t="n">
        <v>9</v>
      </c>
      <c r="C6" t="inlineStr">
        <is>
          <t>100.0%</t>
        </is>
      </c>
    </row>
    <row r="7">
      <c r="A7" t="inlineStr">
        <is>
          <t>岗位 非空数</t>
        </is>
      </c>
      <c r="B7" t="n">
        <v>9</v>
      </c>
      <c r="C7" t="inlineStr">
        <is>
          <t>100.0%</t>
        </is>
      </c>
    </row>
    <row r="8">
      <c r="A8" t="inlineStr">
        <is>
          <t>入职日期 非空数</t>
        </is>
      </c>
      <c r="B8" t="n">
        <v>9</v>
      </c>
      <c r="C8" t="inlineStr">
        <is>
          <t>100.0%</t>
        </is>
      </c>
    </row>
    <row r="9">
      <c r="A9" t="inlineStr">
        <is>
          <t>用工类型 非空数</t>
        </is>
      </c>
      <c r="B9" t="n">
        <v>9</v>
      </c>
      <c r="C9" t="inlineStr">
        <is>
          <t>100.0%</t>
        </is>
      </c>
    </row>
    <row r="10">
      <c r="A10" t="inlineStr">
        <is>
          <t>直属上级工号 非空数</t>
        </is>
      </c>
      <c r="B10" t="n">
        <v>2</v>
      </c>
      <c r="C10" t="inlineStr">
        <is>
          <t>22.2%</t>
        </is>
      </c>
    </row>
    <row r="11">
      <c r="A11" t="inlineStr">
        <is>
          <t>上月记录数</t>
        </is>
      </c>
      <c r="B11" t="n">
        <v>7</v>
      </c>
      <c r="C11" t="inlineStr"/>
    </row>
    <row r="12">
      <c r="A12" t="inlineStr"/>
      <c r="B12" t="inlineStr"/>
      <c r="C12" t="inlineStr"/>
    </row>
    <row r="13">
      <c r="A13">
        <f>==== 问题概览 =====</f>
        <v/>
      </c>
      <c r="B13" t="inlineStr"/>
      <c r="C13" t="inlineStr"/>
    </row>
    <row r="14">
      <c r="A14" t="inlineStr">
        <is>
          <t>严重</t>
        </is>
      </c>
      <c r="B14" t="n">
        <v>2</v>
      </c>
      <c r="C14" t="inlineStr">
        <is>
          <t>14.3%</t>
        </is>
      </c>
    </row>
    <row r="15">
      <c r="A15" t="inlineStr">
        <is>
          <t>错误</t>
        </is>
      </c>
      <c r="B15" t="n">
        <v>12</v>
      </c>
      <c r="C15" t="inlineStr">
        <is>
          <t>85.7%</t>
        </is>
      </c>
    </row>
    <row r="16">
      <c r="A16" t="inlineStr">
        <is>
          <t>警告</t>
        </is>
      </c>
      <c r="B16" t="n">
        <v>0</v>
      </c>
      <c r="C16" t="inlineStr">
        <is>
          <t>0.0%</t>
        </is>
      </c>
    </row>
    <row r="17">
      <c r="A17" t="inlineStr">
        <is>
          <t>提示</t>
        </is>
      </c>
      <c r="B17" t="n">
        <v>0</v>
      </c>
      <c r="C17" t="inlineStr">
        <is>
          <t>0.0%</t>
        </is>
      </c>
    </row>
    <row r="18">
      <c r="A18" t="inlineStr">
        <is>
          <t>问题总数</t>
        </is>
      </c>
      <c r="B18" t="n">
        <v>14</v>
      </c>
      <c r="C18" t="inlineStr"/>
    </row>
    <row r="19">
      <c r="A19" t="inlineStr"/>
      <c r="B19" t="inlineStr"/>
      <c r="C19" t="inlineStr"/>
    </row>
    <row r="20">
      <c r="A20">
        <f>==== 部门分布 =====</f>
        <v/>
      </c>
      <c r="B20" t="inlineStr"/>
      <c r="C20" t="inlineStr"/>
    </row>
    <row r="21">
      <c r="A21" t="inlineStr">
        <is>
          <t>技术部</t>
        </is>
      </c>
      <c r="B21" t="n">
        <v>3</v>
      </c>
      <c r="C21" t="inlineStr">
        <is>
          <t>33.3%</t>
        </is>
      </c>
    </row>
    <row r="22">
      <c r="A22" t="inlineStr">
        <is>
          <t>产品部</t>
        </is>
      </c>
      <c r="B22" t="n">
        <v>2</v>
      </c>
      <c r="C22" t="inlineStr">
        <is>
          <t>22.2%</t>
        </is>
      </c>
    </row>
    <row r="23">
      <c r="A23" t="inlineStr">
        <is>
          <t>销售部</t>
        </is>
      </c>
      <c r="B23" t="n">
        <v>1</v>
      </c>
      <c r="C23" t="inlineStr">
        <is>
          <t>11.1%</t>
        </is>
      </c>
    </row>
    <row r="24">
      <c r="A24" t="inlineStr">
        <is>
          <t>人力资源部</t>
        </is>
      </c>
      <c r="B24" t="n">
        <v>1</v>
      </c>
      <c r="C24" t="inlineStr">
        <is>
          <t>11.1%</t>
        </is>
      </c>
    </row>
    <row r="25">
      <c r="A25" t="inlineStr">
        <is>
          <t>运营部</t>
        </is>
      </c>
      <c r="B25" t="n">
        <v>1</v>
      </c>
      <c r="C25" t="inlineStr">
        <is>
          <t>11.1%</t>
        </is>
      </c>
    </row>
    <row r="26">
      <c r="A26" t="inlineStr">
        <is>
          <t>神秘部门</t>
        </is>
      </c>
      <c r="B26" t="n">
        <v>1</v>
      </c>
      <c r="C26" t="inlineStr">
        <is>
          <t>11.1%</t>
        </is>
      </c>
    </row>
    <row r="27">
      <c r="A27" t="inlineStr"/>
      <c r="B27" t="inlineStr"/>
      <c r="C27" t="inlineStr"/>
    </row>
    <row r="28">
      <c r="A28">
        <f>==== 用工类型分布 =====</f>
        <v/>
      </c>
      <c r="B28" t="inlineStr"/>
      <c r="C28" t="inlineStr"/>
    </row>
    <row r="29">
      <c r="A29" t="inlineStr">
        <is>
          <t>正式</t>
        </is>
      </c>
      <c r="B29" t="n">
        <v>7</v>
      </c>
      <c r="C29" t="inlineStr">
        <is>
          <t>77.8%</t>
        </is>
      </c>
    </row>
    <row r="30">
      <c r="A30" t="inlineStr">
        <is>
          <t>实习</t>
        </is>
      </c>
      <c r="B30" t="n">
        <v>1</v>
      </c>
      <c r="C30" t="inlineStr">
        <is>
          <t>11.1%</t>
        </is>
      </c>
    </row>
    <row r="31">
      <c r="A31" t="inlineStr">
        <is>
          <t>随意类型</t>
        </is>
      </c>
      <c r="B31" t="n">
        <v>1</v>
      </c>
      <c r="C31" t="inlineStr">
        <is>
          <t>11.1%</t>
        </is>
      </c>
    </row>
    <row r="32">
      <c r="A32" t="inlineStr"/>
      <c r="B32" t="inlineStr"/>
      <c r="C32" t="inlineStr"/>
    </row>
    <row r="33">
      <c r="A33">
        <f>==== 在职状态分布 =====</f>
        <v/>
      </c>
      <c r="B33" t="inlineStr"/>
      <c r="C33" t="inlineStr"/>
    </row>
    <row r="34">
      <c r="A34" t="inlineStr">
        <is>
          <t>在职</t>
        </is>
      </c>
      <c r="B34" t="n">
        <v>7</v>
      </c>
      <c r="C34" t="inlineStr">
        <is>
          <t>77.8%</t>
        </is>
      </c>
    </row>
    <row r="35">
      <c r="A35" t="inlineStr">
        <is>
          <t>离职</t>
        </is>
      </c>
      <c r="B35" t="n">
        <v>2</v>
      </c>
      <c r="C35" t="inlineStr">
        <is>
          <t>22.2%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5</v>
      </c>
      <c r="D5" t="inlineStr">
        <is>
          <t>E003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6</v>
      </c>
      <c r="D6" t="inlineStr">
        <is>
          <t>E004</t>
        </is>
      </c>
      <c r="E6" t="inlineStr">
        <is>
          <t>姓名</t>
        </is>
      </c>
      <c r="F6" t="inlineStr">
        <is>
          <t>字段 [姓名] 为空</t>
        </is>
      </c>
      <c r="G6" t="inlineStr">
        <is>
          <t>请补充 姓名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6</v>
      </c>
      <c r="D7" t="inlineStr">
        <is>
          <t>E004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7</v>
      </c>
      <c r="D8" t="inlineStr">
        <is>
          <t>E005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8</v>
      </c>
      <c r="D9" t="inlineStr">
        <is>
          <t>E006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9</v>
      </c>
      <c r="D10" t="inlineStr">
        <is>
          <t>E008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DEPARTMENT_NOT_FOUND</t>
        </is>
      </c>
      <c r="C11" t="n">
        <v>10</v>
      </c>
      <c r="D11" t="inlineStr">
        <is>
          <t>E009</t>
        </is>
      </c>
      <c r="E11" t="inlineStr">
        <is>
          <t>部门</t>
        </is>
      </c>
      <c r="F11" t="inlineStr">
        <is>
          <t>部门 [神秘部门] 不在有效部门列表中</t>
        </is>
      </c>
      <c r="G11" t="inlineStr">
        <is>
          <t>请选择有效部门或更新部门配置列表</t>
        </is>
      </c>
      <c r="H11" t="inlineStr">
        <is>
          <t>神秘部门</t>
        </is>
      </c>
    </row>
    <row r="12">
      <c r="A12" t="inlineStr">
        <is>
          <t>ERROR</t>
        </is>
      </c>
      <c r="B12" t="inlineStr">
        <is>
          <t>EMPLOYMENT_STATUS_CONFLICT</t>
        </is>
      </c>
      <c r="C12" t="n">
        <v>10</v>
      </c>
      <c r="D12" t="inlineStr">
        <is>
          <t>E009</t>
        </is>
      </c>
      <c r="E12" t="inlineStr">
        <is>
          <t>在职状态</t>
        </is>
      </c>
      <c r="F12" t="inlineStr">
        <is>
          <t>在职状态与入职/离职日期冲突: 状态为'离职'但缺少离职日期</t>
        </is>
      </c>
      <c r="G12" t="inlineStr">
        <is>
          <t>请检查在职状态与入职/离职日期的一致性</t>
        </is>
      </c>
      <c r="H12" t="inlineStr">
        <is>
          <t>status=离职, hire=2025/13/01, resign=</t>
        </is>
      </c>
    </row>
    <row r="13">
      <c r="A13" t="inlineStr">
        <is>
          <t>ERROR</t>
        </is>
      </c>
      <c r="B13" t="inlineStr">
        <is>
          <t>EMPTY_FIELD</t>
        </is>
      </c>
      <c r="C13" t="n">
        <v>10</v>
      </c>
      <c r="D13" t="inlineStr">
        <is>
          <t>E009</t>
        </is>
      </c>
      <c r="E13" t="inlineStr">
        <is>
          <t>直属上级工号</t>
        </is>
      </c>
      <c r="F13" t="inlineStr">
        <is>
          <t>字段 [直属上级工号] 为空</t>
        </is>
      </c>
      <c r="G13" t="inlineStr">
        <is>
          <t>请补充 直属上级工号 字段信息</t>
        </is>
      </c>
      <c r="H13" t="inlineStr"/>
    </row>
    <row r="14">
      <c r="A14" t="inlineStr">
        <is>
          <t>ERROR</t>
        </is>
      </c>
      <c r="B14" t="inlineStr">
        <is>
          <t>INVALID_DATE</t>
        </is>
      </c>
      <c r="C14" t="n">
        <v>10</v>
      </c>
      <c r="D14" t="inlineStr">
        <is>
          <t>E009</t>
        </is>
      </c>
      <c r="E14" t="inlineStr">
        <is>
          <t>入职日期</t>
        </is>
      </c>
      <c r="F14" t="inlineStr">
        <is>
          <t>字段 [入职日期] 日期格式无效: 2025/13/01</t>
        </is>
      </c>
      <c r="G14" t="inlineStr">
        <is>
          <t>请将 入职日期 调整为正确的日期格式 (YYYY-MM-DD)</t>
        </is>
      </c>
      <c r="H14" t="inlineStr">
        <is>
          <t>2025/13/01</t>
        </is>
      </c>
    </row>
    <row r="15">
      <c r="A15" t="inlineStr">
        <is>
          <t>ERROR</t>
        </is>
      </c>
      <c r="B15" t="inlineStr">
        <is>
          <t>INVALID_EMPLOYMENT_TYPE</t>
        </is>
      </c>
      <c r="C15" t="n">
        <v>10</v>
      </c>
      <c r="D15" t="inlineStr">
        <is>
          <t>E009</t>
        </is>
      </c>
      <c r="E15" t="inlineStr">
        <is>
          <t>用工类型</t>
        </is>
      </c>
      <c r="F15" t="inlineStr">
        <is>
          <t>用工类型 [随意类型] 不在有效值列表中</t>
        </is>
      </c>
      <c r="G15" t="inlineStr">
        <is>
          <t>请从 正式、试用期、实习、外包、派遣、兼职、劳务 中选择有效的用工类型</t>
        </is>
      </c>
      <c r="H15" t="inlineStr">
        <is>
          <t>随意类型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直属上级工号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[直属上级工号] 为空</t>
        </is>
      </c>
      <c r="H4" t="inlineStr">
        <is>
          <t>补空字段</t>
        </is>
      </c>
      <c r="I4" t="inlineStr">
        <is>
          <t>E004</t>
        </is>
      </c>
      <c r="J4" t="inlineStr">
        <is>
          <t>中</t>
        </is>
      </c>
      <c r="K4" t="inlineStr">
        <is>
          <t>是</t>
        </is>
      </c>
      <c r="L4" t="inlineStr">
        <is>
          <t>否</t>
        </is>
      </c>
      <c r="M4" t="inlineStr">
        <is>
          <t>建议补充上级为同部门总监: (E004)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E003</t>
        </is>
      </c>
      <c r="C5" t="n">
        <v>5</v>
      </c>
      <c r="D5" t="inlineStr">
        <is>
          <t>直属上级工号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[直属上级工号]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直属上级工号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E004</t>
        </is>
      </c>
      <c r="C6" t="n">
        <v>6</v>
      </c>
      <c r="D6" t="inlineStr">
        <is>
          <t>姓名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[姓名]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请人工补充员工姓名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E004</t>
        </is>
      </c>
      <c r="C7" t="n">
        <v>6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E005</t>
        </is>
      </c>
      <c r="C8" t="n">
        <v>7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E006</t>
        </is>
      </c>
      <c r="C9" t="n">
        <v>8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E008</t>
        </is>
      </c>
      <c r="C10" t="n">
        <v>9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  <row r="11">
      <c r="A11" t="n">
        <v>10</v>
      </c>
      <c r="B11" t="inlineStr">
        <is>
          <t>E009</t>
        </is>
      </c>
      <c r="C11" t="n">
        <v>10</v>
      </c>
      <c r="D11" t="inlineStr">
        <is>
          <t>直属上级工号</t>
        </is>
      </c>
      <c r="E11" t="inlineStr">
        <is>
          <t>ERROR</t>
        </is>
      </c>
      <c r="F11" t="inlineStr">
        <is>
          <t>EMPTY_FIELD</t>
        </is>
      </c>
      <c r="G11" t="inlineStr">
        <is>
          <t>字段 [直属上级工号] 为空</t>
        </is>
      </c>
      <c r="H11" t="inlineStr">
        <is>
          <t>补空字段</t>
        </is>
      </c>
      <c r="I11" t="inlineStr"/>
      <c r="J11" t="inlineStr">
        <is>
          <t>低</t>
        </is>
      </c>
      <c r="K11" t="inlineStr">
        <is>
          <t>是</t>
        </is>
      </c>
      <c r="L11" t="inlineStr">
        <is>
          <t>否</t>
        </is>
      </c>
      <c r="M11" t="inlineStr">
        <is>
          <t>字段 直属上级工号 需要补充信息</t>
        </is>
      </c>
      <c r="N11" t="inlineStr"/>
      <c r="O11" t="inlineStr"/>
      <c r="P11" t="inlineStr"/>
      <c r="Q11" t="inlineStr"/>
    </row>
    <row r="12">
      <c r="A12" t="n">
        <v>11</v>
      </c>
      <c r="B12" t="inlineStr">
        <is>
          <t>E009</t>
        </is>
      </c>
      <c r="C12" t="n">
        <v>10</v>
      </c>
      <c r="D12" t="inlineStr">
        <is>
          <t>入职日期</t>
        </is>
      </c>
      <c r="E12" t="inlineStr">
        <is>
          <t>ERROR</t>
        </is>
      </c>
      <c r="F12" t="inlineStr">
        <is>
          <t>INVALID_DATE</t>
        </is>
      </c>
      <c r="G12" t="inlineStr">
        <is>
          <t>字段 [入职日期] 日期格式无效: 2025/13/01</t>
        </is>
      </c>
      <c r="H12" t="inlineStr">
        <is>
          <t>修正日期格式</t>
        </is>
      </c>
      <c r="I12" t="inlineStr">
        <is>
          <t>2025-13-01</t>
        </is>
      </c>
      <c r="J12" t="inlineStr">
        <is>
          <t>高</t>
        </is>
      </c>
      <c r="K12" t="inlineStr">
        <is>
          <t>否</t>
        </is>
      </c>
      <c r="L12" t="inlineStr">
        <is>
          <t>否</t>
        </is>
      </c>
      <c r="M12" t="inlineStr">
        <is>
          <t>建议将日期格式化为 YYYY-MM-DD: 2025-13-01</t>
        </is>
      </c>
      <c r="N12" t="inlineStr"/>
      <c r="O12" t="inlineStr"/>
      <c r="P12" t="inlineStr"/>
      <c r="Q12" t="inlineStr"/>
    </row>
    <row r="13">
      <c r="A13" t="n">
        <v>12</v>
      </c>
      <c r="B13" t="inlineStr">
        <is>
          <t>E009</t>
        </is>
      </c>
      <c r="C13" t="n">
        <v>10</v>
      </c>
      <c r="D13" t="inlineStr">
        <is>
          <t>部门</t>
        </is>
      </c>
      <c r="E13" t="inlineStr">
        <is>
          <t>ERROR</t>
        </is>
      </c>
      <c r="F13" t="inlineStr">
        <is>
          <t>DEPARTMENT_NOT_FOUND</t>
        </is>
      </c>
      <c r="G13" t="inlineStr">
        <is>
          <t>部门 [神秘部门] 不在有效部门列表中</t>
        </is>
      </c>
      <c r="H13" t="inlineStr">
        <is>
          <t>修正部门</t>
        </is>
      </c>
      <c r="I13" t="inlineStr"/>
      <c r="J13" t="inlineStr">
        <is>
          <t>低</t>
        </is>
      </c>
      <c r="K13" t="inlineStr">
        <is>
          <t>是</t>
        </is>
      </c>
      <c r="L13" t="inlineStr">
        <is>
          <t>否</t>
        </is>
      </c>
      <c r="M13" t="inlineStr">
        <is>
          <t>未匹配到有效部门 | 可选: 总经办, 人力资源部, 财务部, 行政部, 技术部, 产品部, 设计部, 市场部, 销售部, 运营部...</t>
        </is>
      </c>
      <c r="N13" t="inlineStr"/>
      <c r="O13" t="inlineStr"/>
      <c r="P13" t="inlineStr"/>
      <c r="Q13" t="inlineStr"/>
    </row>
    <row r="14">
      <c r="A14" t="n">
        <v>13</v>
      </c>
      <c r="B14" t="inlineStr">
        <is>
          <t>E009</t>
        </is>
      </c>
      <c r="C14" t="n">
        <v>10</v>
      </c>
      <c r="D14" t="inlineStr">
        <is>
          <t>用工类型</t>
        </is>
      </c>
      <c r="E14" t="inlineStr">
        <is>
          <t>ERROR</t>
        </is>
      </c>
      <c r="F14" t="inlineStr">
        <is>
          <t>INVALID_EMPLOYMENT_TYPE</t>
        </is>
      </c>
      <c r="G14" t="inlineStr">
        <is>
          <t>用工类型 [随意类型] 不在有效值列表中</t>
        </is>
      </c>
      <c r="H14" t="inlineStr">
        <is>
          <t>修正用工类型</t>
        </is>
      </c>
      <c r="I14" t="inlineStr"/>
      <c r="J14" t="inlineStr">
        <is>
          <t>低</t>
        </is>
      </c>
      <c r="K14" t="inlineStr">
        <is>
          <t>是</t>
        </is>
      </c>
      <c r="L14" t="inlineStr">
        <is>
          <t>否</t>
        </is>
      </c>
      <c r="M14" t="inlineStr">
        <is>
          <t>有效类型: 正式, 试用期, 实习, 外包, 派遣, 兼职, 劳务</t>
        </is>
      </c>
      <c r="N14" t="inlineStr"/>
      <c r="O14" t="inlineStr"/>
      <c r="P14" t="inlineStr"/>
      <c r="Q14" t="inlineStr"/>
    </row>
    <row r="15">
      <c r="A15" t="n">
        <v>14</v>
      </c>
      <c r="B15" t="inlineStr">
        <is>
          <t>E009</t>
        </is>
      </c>
      <c r="C15" t="n">
        <v>10</v>
      </c>
      <c r="D15" t="inlineStr">
        <is>
          <t>离职日期</t>
        </is>
      </c>
      <c r="E15" t="inlineStr">
        <is>
          <t>ERROR</t>
        </is>
      </c>
      <c r="F15" t="inlineStr">
        <is>
          <t>EMPLOYMENT_STATUS_CONFLICT</t>
        </is>
      </c>
      <c r="G15" t="inlineStr">
        <is>
          <t>在职状态与入职/离职日期冲突: 状态为'离职'但缺少离职日期</t>
        </is>
      </c>
      <c r="H15" t="inlineStr">
        <is>
          <t>补充离职日期</t>
        </is>
      </c>
      <c r="I15" t="inlineStr">
        <is>
          <t>2026-06-11</t>
        </is>
      </c>
      <c r="J15" t="inlineStr">
        <is>
          <t>中</t>
        </is>
      </c>
      <c r="K15" t="inlineStr">
        <is>
          <t>是</t>
        </is>
      </c>
      <c r="L15" t="inlineStr">
        <is>
          <t>否</t>
        </is>
      </c>
      <c r="M15" t="inlineStr">
        <is>
          <t>状态为离职但缺少离职日期，建议补充: 2026-06-11（请人工确认）</t>
        </is>
      </c>
      <c r="N15" t="inlineStr"/>
      <c r="O15" t="inlineStr"/>
      <c r="P15" t="inlineStr"/>
      <c r="Q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调岗</t>
        </is>
      </c>
      <c r="B2" t="n">
        <v>4</v>
      </c>
      <c r="C2" t="inlineStr">
        <is>
          <t>岗位调整</t>
        </is>
      </c>
    </row>
    <row r="3">
      <c r="A3" t="inlineStr">
        <is>
          <t>新增</t>
        </is>
      </c>
      <c r="B3" t="n">
        <v>2</v>
      </c>
      <c r="C3" t="inlineStr">
        <is>
          <t>本月新增员工</t>
        </is>
      </c>
    </row>
    <row r="4">
      <c r="A4" t="inlineStr">
        <is>
          <t>离职</t>
        </is>
      </c>
      <c r="B4" t="n">
        <v>2</v>
      </c>
      <c r="C4" t="inlineStr">
        <is>
          <t>员工已离职（含花名册移除和状态变更）</t>
        </is>
      </c>
    </row>
    <row r="5">
      <c r="A5" t="inlineStr">
        <is>
          <t>部门变更</t>
        </is>
      </c>
      <c r="B5" t="n">
        <v>2</v>
      </c>
      <c r="C5" t="inlineStr">
        <is>
          <t>部门调整</t>
        </is>
      </c>
    </row>
    <row r="6">
      <c r="A6" t="inlineStr">
        <is>
          <t>改名</t>
        </is>
      </c>
      <c r="B6" t="n">
        <v>2</v>
      </c>
      <c r="C6" t="inlineStr">
        <is>
          <t>姓名变更</t>
        </is>
      </c>
    </row>
    <row r="7">
      <c r="A7" t="inlineStr">
        <is>
          <t>用工类型变更</t>
        </is>
      </c>
      <c r="B7" t="n">
        <v>1</v>
      </c>
      <c r="C7" t="inlineStr">
        <is>
          <t>用工类型变更</t>
        </is>
      </c>
    </row>
    <row r="8">
      <c r="A8" t="inlineStr">
        <is>
          <t>上级变更</t>
        </is>
      </c>
      <c r="B8" t="n">
        <v>1</v>
      </c>
      <c r="C8" t="inlineStr">
        <is>
          <t>直属上级变更</t>
        </is>
      </c>
    </row>
    <row r="9">
      <c r="A9" t="inlineStr">
        <is>
          <t>合计</t>
        </is>
      </c>
      <c r="B9" t="n">
        <v>14</v>
      </c>
      <c r="C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E007</t>
        </is>
      </c>
      <c r="B2" t="inlineStr">
        <is>
          <t>离职</t>
        </is>
      </c>
      <c r="C2" t="inlineStr"/>
      <c r="D2" t="inlineStr">
        <is>
          <t>吴九|财务部|会计|离职</t>
        </is>
      </c>
      <c r="E2" t="inlineStr"/>
      <c r="F2" t="inlineStr">
        <is>
          <t>离职员工（已从花名册移除） (姓名:吴九 | 部门:财务部 | 岗位:会计 | 原状态:离职)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E009</t>
        </is>
      </c>
      <c r="B2" t="inlineStr">
        <is>
          <t>新增</t>
        </is>
      </c>
      <c r="C2" t="inlineStr"/>
      <c r="D2" t="inlineStr"/>
      <c r="E2" t="inlineStr">
        <is>
          <t>钱十一|神秘部门|测试|离职</t>
        </is>
      </c>
      <c r="F2" t="inlineStr">
        <is>
          <t>新增员工 (姓名:钱十一 | 部门:神秘部门 | 岗位:测试 | 状态:离职)</t>
        </is>
      </c>
    </row>
    <row r="3">
      <c r="A3" t="inlineStr">
        <is>
          <t>E008</t>
        </is>
      </c>
      <c r="B3" t="inlineStr">
        <is>
          <t>新增</t>
        </is>
      </c>
      <c r="C3" t="inlineStr"/>
      <c r="D3" t="inlineStr"/>
      <c r="E3" t="inlineStr">
        <is>
          <t>郑十|运营部|运营专员|在职</t>
        </is>
      </c>
      <c r="F3" t="inlineStr">
        <is>
          <t>新增员工 (姓名:郑十 | 部门:运营部 | 岗位:运营专员 | 状态:在职)</t>
        </is>
      </c>
    </row>
    <row r="4">
      <c r="A4" t="inlineStr">
        <is>
          <t>E007</t>
        </is>
      </c>
      <c r="B4" t="inlineStr">
        <is>
          <t>离职</t>
        </is>
      </c>
      <c r="C4" t="inlineStr"/>
      <c r="D4" t="inlineStr">
        <is>
          <t>吴九|财务部|会计|离职</t>
        </is>
      </c>
      <c r="E4" t="inlineStr"/>
      <c r="F4" t="inlineStr">
        <is>
          <t>离职员工（已从花名册移除） (姓名:吴九 | 部门:财务部 | 岗位:会计 | 原状态:离职)</t>
        </is>
      </c>
    </row>
    <row r="5">
      <c r="A5" t="inlineStr">
        <is>
          <t>E006</t>
        </is>
      </c>
      <c r="B5" t="inlineStr">
        <is>
          <t>调岗</t>
        </is>
      </c>
      <c r="C5" t="inlineStr">
        <is>
          <t>岗位</t>
        </is>
      </c>
      <c r="D5" t="inlineStr">
        <is>
          <t>HR专员</t>
        </is>
      </c>
      <c r="E5" t="inlineStr">
        <is>
          <t>HRBP</t>
        </is>
      </c>
      <c r="F5" t="inlineStr">
        <is>
          <t>岗位变更: HR专员 → HRBP</t>
        </is>
      </c>
    </row>
    <row r="6">
      <c r="A6" t="inlineStr">
        <is>
          <t>E002</t>
        </is>
      </c>
      <c r="B6" t="inlineStr">
        <is>
          <t>离职</t>
        </is>
      </c>
      <c r="C6" t="inlineStr">
        <is>
          <t>在职状态</t>
        </is>
      </c>
      <c r="D6" t="inlineStr">
        <is>
          <t>在职</t>
        </is>
      </c>
      <c r="E6" t="inlineStr">
        <is>
          <t>离职</t>
        </is>
      </c>
      <c r="F6" t="inlineStr">
        <is>
          <t>本月状态变更为离职 (姓名:李四 | 部门:技术部 | 岗位:工程师 | 离职日期:2025-05-01)</t>
        </is>
      </c>
    </row>
    <row r="7">
      <c r="A7" t="inlineStr">
        <is>
          <t>E005</t>
        </is>
      </c>
      <c r="B7" t="inlineStr">
        <is>
          <t>部门变更</t>
        </is>
      </c>
      <c r="C7" t="inlineStr">
        <is>
          <t>部门</t>
        </is>
      </c>
      <c r="D7" t="inlineStr">
        <is>
          <t>市场部</t>
        </is>
      </c>
      <c r="E7" t="inlineStr">
        <is>
          <t>销售部</t>
        </is>
      </c>
      <c r="F7" t="inlineStr">
        <is>
          <t>部门变更: 市场部 → 销售部</t>
        </is>
      </c>
    </row>
    <row r="8">
      <c r="A8" t="inlineStr">
        <is>
          <t>E005</t>
        </is>
      </c>
      <c r="B8" t="inlineStr">
        <is>
          <t>调岗</t>
        </is>
      </c>
      <c r="C8" t="inlineStr">
        <is>
          <t>岗位</t>
        </is>
      </c>
      <c r="D8" t="inlineStr">
        <is>
          <t>市场专员</t>
        </is>
      </c>
      <c r="E8" t="inlineStr">
        <is>
          <t>销售代表</t>
        </is>
      </c>
      <c r="F8" t="inlineStr">
        <is>
          <t>岗位变更: 市场专员 → 销售代表</t>
        </is>
      </c>
    </row>
    <row r="9">
      <c r="A9" t="inlineStr">
        <is>
          <t>E005</t>
        </is>
      </c>
      <c r="B9" t="inlineStr">
        <is>
          <t>用工类型变更</t>
        </is>
      </c>
      <c r="C9" t="inlineStr">
        <is>
          <t>用工类型</t>
        </is>
      </c>
      <c r="D9" t="inlineStr">
        <is>
          <t>试用期</t>
        </is>
      </c>
      <c r="E9" t="inlineStr">
        <is>
          <t>正式</t>
        </is>
      </c>
      <c r="F9" t="inlineStr">
        <is>
          <t>用工类型变更: 试用期 → 正式</t>
        </is>
      </c>
    </row>
    <row r="10">
      <c r="A10" t="inlineStr">
        <is>
          <t>E001</t>
        </is>
      </c>
      <c r="B10" t="inlineStr">
        <is>
          <t>改名</t>
        </is>
      </c>
      <c r="C10" t="inlineStr">
        <is>
          <t>姓名</t>
        </is>
      </c>
      <c r="D10" t="inlineStr">
        <is>
          <t>张三</t>
        </is>
      </c>
      <c r="E10" t="inlineStr">
        <is>
          <t>张三(重复)</t>
        </is>
      </c>
      <c r="F10" t="inlineStr">
        <is>
          <t>姓名变更: 张三 → 张三(重复)</t>
        </is>
      </c>
    </row>
    <row r="11">
      <c r="A11" t="inlineStr">
        <is>
          <t>E001</t>
        </is>
      </c>
      <c r="B11" t="inlineStr">
        <is>
          <t>部门变更</t>
        </is>
      </c>
      <c r="C11" t="inlineStr">
        <is>
          <t>部门</t>
        </is>
      </c>
      <c r="D11" t="inlineStr">
        <is>
          <t>技术部</t>
        </is>
      </c>
      <c r="E11" t="inlineStr">
        <is>
          <t>产品部</t>
        </is>
      </c>
      <c r="F11" t="inlineStr">
        <is>
          <t>部门变更: 技术部 → 产品部</t>
        </is>
      </c>
    </row>
    <row r="12">
      <c r="A12" t="inlineStr">
        <is>
          <t>E001</t>
        </is>
      </c>
      <c r="B12" t="inlineStr">
        <is>
          <t>调岗</t>
        </is>
      </c>
      <c r="C12" t="inlineStr">
        <is>
          <t>岗位</t>
        </is>
      </c>
      <c r="D12" t="inlineStr">
        <is>
          <t>工程师</t>
        </is>
      </c>
      <c r="E12" t="inlineStr">
        <is>
          <t>重复工号</t>
        </is>
      </c>
      <c r="F12" t="inlineStr">
        <is>
          <t>岗位变更: 工程师 → 重复工号</t>
        </is>
      </c>
    </row>
    <row r="13">
      <c r="A13" t="inlineStr">
        <is>
          <t>E001</t>
        </is>
      </c>
      <c r="B13" t="inlineStr">
        <is>
          <t>上级变更</t>
        </is>
      </c>
      <c r="C13" t="inlineStr">
        <is>
          <t>直属上级工号</t>
        </is>
      </c>
      <c r="D13" t="inlineStr">
        <is>
          <t>E003</t>
        </is>
      </c>
      <c r="E13" t="inlineStr"/>
      <c r="F13" t="inlineStr">
        <is>
          <t>直属上级变更: E003 → None</t>
        </is>
      </c>
    </row>
    <row r="14">
      <c r="A14" t="inlineStr">
        <is>
          <t>E004</t>
        </is>
      </c>
      <c r="B14" t="inlineStr">
        <is>
          <t>改名</t>
        </is>
      </c>
      <c r="C14" t="inlineStr">
        <is>
          <t>姓名</t>
        </is>
      </c>
      <c r="D14" t="inlineStr">
        <is>
          <t>赵六</t>
        </is>
      </c>
      <c r="E14" t="inlineStr"/>
      <c r="F14" t="inlineStr">
        <is>
          <t>姓名变更: 赵六 → None</t>
        </is>
      </c>
    </row>
    <row r="15">
      <c r="A15" t="inlineStr">
        <is>
          <t>E004</t>
        </is>
      </c>
      <c r="B15" t="inlineStr">
        <is>
          <t>调岗</t>
        </is>
      </c>
      <c r="C15" t="inlineStr">
        <is>
          <t>岗位</t>
        </is>
      </c>
      <c r="D15" t="inlineStr">
        <is>
          <t>产品经理</t>
        </is>
      </c>
      <c r="E15" t="inlineStr">
        <is>
          <t>产品总监</t>
        </is>
      </c>
      <c r="F15" t="inlineStr">
        <is>
          <t>岗位变更: 产品经理 → 产品总监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inlineStr">
        <is>
          <t>+1</t>
        </is>
      </c>
    </row>
    <row r="3">
      <c r="A3" t="inlineStr">
        <is>
          <t>人力资源部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inlineStr">
        <is>
          <t>0</t>
        </is>
      </c>
    </row>
    <row r="4">
      <c r="A4" t="inlineStr">
        <is>
          <t>市场部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技术部</t>
        </is>
      </c>
      <c r="B5" t="n">
        <v>3</v>
      </c>
      <c r="C5" t="n">
        <v>2</v>
      </c>
      <c r="D5" t="n">
        <v>0</v>
      </c>
      <c r="E5" t="n">
        <v>1</v>
      </c>
      <c r="F5" t="n">
        <v>0</v>
      </c>
      <c r="G5" t="n">
        <v>1</v>
      </c>
      <c r="H5" t="inlineStr">
        <is>
          <t>-1</t>
        </is>
      </c>
    </row>
    <row r="6">
      <c r="A6" t="inlineStr">
        <is>
          <t>运营部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inlineStr">
        <is>
          <t>+1</t>
        </is>
      </c>
    </row>
    <row r="7">
      <c r="A7" t="inlineStr">
        <is>
          <t>销售部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2026-06-10T17:06:00Z</dcterms:created>
  <dcterms:modified xmlns:dcterms="http://purl.org/dc/terms/" xmlns:xsi="http://www.w3.org/2001/XMLSchema-instance" xsi:type="dcterms:W3CDTF">2026-06-10T17:06:00Z</dcterms:modified>
</cp:coreProperties>
</file>